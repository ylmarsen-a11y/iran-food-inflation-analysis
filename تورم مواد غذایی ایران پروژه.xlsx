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5967B8B-0E5E-44F8-855C-65DEC44C2653}" xr6:coauthVersionLast="47" xr6:coauthVersionMax="47" xr10:uidLastSave="{00000000-0000-0000-0000-000000000000}"/>
  <bookViews>
    <workbookView xWindow="-110" yWindow="-110" windowWidth="25820" windowHeight="15500" xr2:uid="{56316DDB-EFF5-4716-A726-C7A205C761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23" i="1"/>
  <c r="H24" i="1"/>
  <c r="H25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<sst xmlns="http://schemas.openxmlformats.org/spreadsheetml/2006/main" count="128" uniqueCount="24">
  <si>
    <t>ماه</t>
  </si>
  <si>
    <t>کالا</t>
  </si>
  <si>
    <t>گروه</t>
  </si>
  <si>
    <t>واحد</t>
  </si>
  <si>
    <t>قیمت</t>
  </si>
  <si>
    <t>منبع</t>
  </si>
  <si>
    <t>برنج ایرانی درجه یک</t>
  </si>
  <si>
    <t>کیلوگرم</t>
  </si>
  <si>
    <t>مرکز آمار</t>
  </si>
  <si>
    <t>غلات</t>
  </si>
  <si>
    <t>گوشت گوسفندی</t>
  </si>
  <si>
    <t>گوشت گوساله</t>
  </si>
  <si>
    <t>روغن مایع</t>
  </si>
  <si>
    <t>روغن</t>
  </si>
  <si>
    <t>گوشت قرمز</t>
  </si>
  <si>
    <t>۹۰۰ گرم</t>
  </si>
  <si>
    <t xml:space="preserve">دی 1404 </t>
  </si>
  <si>
    <t>بهمن 1404</t>
  </si>
  <si>
    <t>اسفند 1404</t>
  </si>
  <si>
    <t>فروردین 1405</t>
  </si>
  <si>
    <t>اردیبهشت 1405</t>
  </si>
  <si>
    <t>خرداد1405</t>
  </si>
  <si>
    <t>آنالیز</t>
  </si>
  <si>
    <t>رشد کل دوره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</si>
</sst>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 wrapText="1"/>
    </xf>
    <xf numFmtId="0" fontId="0" fillId="3" borderId="2" xfId="0" applyFill="1" applyBorder="1"/>
    <xf numFmtId="3" fontId="0" fillId="0" borderId="0" xfId="0" applyNumberFormat="1"/>
    <xf numFmtId="0" fontId="0" fillId="0" borderId="2" xfId="0" applyBorder="1"/>
    <xf numFmtId="0" fontId="0" fillId="3" borderId="2" xfId="0" applyFill="1" applyBorder="1" applyAlignment="1">
      <alignment vertical="center" wrapText="1"/>
    </xf>
    <xf numFmtId="3" fontId="0" fillId="3" borderId="2" xfId="0" applyNumberFormat="1" applyFill="1" applyBorder="1"/>
    <xf numFmtId="0" fontId="0" fillId="3" borderId="3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horizontal="right" vertical="center" wrapText="1"/>
    </xf>
    <xf numFmtId="0" fontId="0" fillId="3" borderId="2" xfId="0" applyFill="1" applyBorder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right" vertical="center" wrapText="1"/>
    </xf>
    <xf numFmtId="3" fontId="0" fillId="0" borderId="0" xfId="0" applyNumberFormat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right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0" borderId="6" xfId="0" applyFont="1" applyBorder="1" applyAlignment="1">
      <alignment vertical="center" wrapText="1"/>
    </xf>
    <xf numFmtId="0" fontId="0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032291-5099-4BC9-A2A8-A78EDF59CBA6}" name="Table4" displayName="Table4" ref="A1:H25" totalsRowShown="0" headerRowDxfId="9" dataDxfId="7" headerRowBorderDxfId="8" tableBorderDxfId="6">
  <autoFilter ref="A1:H25" xr:uid="{A4032291-5099-4BC9-A2A8-A78EDF59CBA6}"/>
  <tableColumns count="8">
    <tableColumn id="1" xr3:uid="{3C0724AC-61EE-4A74-851E-E656F84A885E}" name="ماه"/>
    <tableColumn id="2" xr3:uid="{FAE0C712-1ABC-4BC7-B5B8-E3A58E1ACC8B}" name="کالا" dataDxfId="5"/>
    <tableColumn id="3" xr3:uid="{D882D8B9-13D5-4C48-B725-0306683201C3}" name="گروه" dataDxfId="4"/>
    <tableColumn id="4" xr3:uid="{12D9CCEE-E93D-4E83-85C9-9682136FB82D}" name="واحد" dataDxfId="3"/>
    <tableColumn id="5" xr3:uid="{8F59055C-A04A-405F-AED4-EFBD8DF8BC11}" name="قیمت"/>
    <tableColumn id="6" xr3:uid="{71BAF74D-5883-431E-8DA3-00500D3BF128}" name="منبع" dataDxfId="2"/>
    <tableColumn id="7" xr3:uid="{487B367E-2334-460B-B43B-7C4BF81BEA5D}" name="آنالیز" dataDxfId="1"/>
    <tableColumn id="8" xr3:uid="{32FB34A2-048F-4D7F-AB7E-DF173ADA0DAE}" name="رشد کل دوره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4BE6F-9056-4AD2-B7C1-53AAED3375D6}">
  <dimension ref="A1:T29"/>
  <sheetViews>
    <sheetView rightToLeft="1" tabSelected="1" topLeftCell="A7" workbookViewId="0">
      <selection activeCell="J3" sqref="J3:K7"/>
    </sheetView>
  </sheetViews>
  <sheetFormatPr defaultRowHeight="14.5" x14ac:dyDescent="0.35"/>
  <cols>
    <col min="1" max="1" width="11.90625" bestFit="1" customWidth="1"/>
    <col min="2" max="2" width="7.81640625" bestFit="1" customWidth="1"/>
    <col min="3" max="3" width="8.6328125" bestFit="1" customWidth="1"/>
    <col min="4" max="4" width="8.7265625" customWidth="1"/>
    <col min="5" max="5" width="8.7265625" bestFit="1" customWidth="1"/>
    <col min="7" max="8" width="11.36328125" bestFit="1" customWidth="1"/>
  </cols>
  <sheetData>
    <row r="1" spans="1:20" ht="29" x14ac:dyDescent="0.35">
      <c r="A1" s="14" t="s">
        <v>0</v>
      </c>
      <c r="B1" s="15" t="s">
        <v>1</v>
      </c>
      <c r="C1" s="15" t="s">
        <v>2</v>
      </c>
      <c r="D1" s="15" t="s">
        <v>3</v>
      </c>
      <c r="E1" s="16" t="s">
        <v>4</v>
      </c>
      <c r="F1" s="15" t="s">
        <v>5</v>
      </c>
      <c r="G1" s="15" t="s">
        <v>22</v>
      </c>
      <c r="H1" s="15" t="s">
        <v>23</v>
      </c>
    </row>
    <row r="2" spans="1:20" ht="29" x14ac:dyDescent="0.35">
      <c r="A2" s="1" t="s">
        <v>16</v>
      </c>
      <c r="B2" s="5" t="s">
        <v>6</v>
      </c>
      <c r="C2" s="5" t="s">
        <v>9</v>
      </c>
      <c r="D2" s="5" t="s">
        <v>7</v>
      </c>
      <c r="E2" s="6">
        <v>390000</v>
      </c>
      <c r="F2" s="5" t="s">
        <v>8</v>
      </c>
      <c r="G2" s="23"/>
      <c r="H2" s="23"/>
    </row>
    <row r="3" spans="1:20" ht="29" x14ac:dyDescent="0.35">
      <c r="A3" s="1" t="s">
        <v>16</v>
      </c>
      <c r="B3" s="8" t="s">
        <v>10</v>
      </c>
      <c r="C3" s="8" t="s">
        <v>14</v>
      </c>
      <c r="D3" s="8" t="s">
        <v>7</v>
      </c>
      <c r="E3" s="17">
        <v>1300000</v>
      </c>
      <c r="F3" s="8" t="s">
        <v>8</v>
      </c>
      <c r="G3" s="22"/>
      <c r="H3" s="22"/>
      <c r="P3" s="5"/>
      <c r="Q3" s="5"/>
      <c r="R3" s="5"/>
      <c r="S3" s="6"/>
      <c r="T3" s="7"/>
    </row>
    <row r="4" spans="1:20" ht="29" x14ac:dyDescent="0.35">
      <c r="A4" s="1" t="s">
        <v>16</v>
      </c>
      <c r="B4" s="5" t="s">
        <v>11</v>
      </c>
      <c r="C4" s="5" t="s">
        <v>14</v>
      </c>
      <c r="D4" s="5" t="s">
        <v>7</v>
      </c>
      <c r="E4" s="17">
        <v>1100000</v>
      </c>
      <c r="F4" s="5" t="s">
        <v>8</v>
      </c>
      <c r="G4" s="22"/>
      <c r="H4" s="22"/>
      <c r="P4" s="8"/>
      <c r="Q4" s="8"/>
      <c r="R4" s="8"/>
      <c r="S4" s="4"/>
      <c r="T4" s="9"/>
    </row>
    <row r="5" spans="1:20" x14ac:dyDescent="0.35">
      <c r="A5" s="1" t="s">
        <v>16</v>
      </c>
      <c r="B5" s="8" t="s">
        <v>12</v>
      </c>
      <c r="C5" s="8" t="s">
        <v>13</v>
      </c>
      <c r="D5" s="8" t="s">
        <v>15</v>
      </c>
      <c r="E5" s="10">
        <v>250000</v>
      </c>
      <c r="F5" s="8" t="s">
        <v>8</v>
      </c>
      <c r="G5" s="22"/>
      <c r="H5" s="22"/>
      <c r="P5" s="5"/>
      <c r="Q5" s="5"/>
      <c r="R5" s="5"/>
      <c r="S5" s="2"/>
      <c r="T5" s="7"/>
    </row>
    <row r="6" spans="1:20" ht="29" x14ac:dyDescent="0.35">
      <c r="A6" s="1" t="s">
        <v>17</v>
      </c>
      <c r="B6" s="5" t="s">
        <v>6</v>
      </c>
      <c r="C6" s="5" t="s">
        <v>9</v>
      </c>
      <c r="D6" s="5" t="s">
        <v>7</v>
      </c>
      <c r="E6" s="6">
        <v>420000</v>
      </c>
      <c r="F6" s="5" t="s">
        <v>8</v>
      </c>
      <c r="G6" s="22">
        <f>(E6-E2)/E2%</f>
        <v>7.6923076923076925</v>
      </c>
      <c r="H6" s="22"/>
      <c r="P6" s="8"/>
      <c r="Q6" s="8"/>
      <c r="R6" s="8"/>
      <c r="S6" s="10"/>
      <c r="T6" s="9"/>
    </row>
    <row r="7" spans="1:20" ht="29" x14ac:dyDescent="0.35">
      <c r="A7" s="1" t="s">
        <v>17</v>
      </c>
      <c r="B7" s="8" t="s">
        <v>10</v>
      </c>
      <c r="C7" s="8" t="s">
        <v>14</v>
      </c>
      <c r="D7" s="8" t="s">
        <v>7</v>
      </c>
      <c r="E7" s="3">
        <v>1350000</v>
      </c>
      <c r="F7" s="8" t="s">
        <v>8</v>
      </c>
      <c r="G7" s="22">
        <f>(E7-E3)/E3%</f>
        <v>3.8461538461538463</v>
      </c>
      <c r="H7" s="22"/>
      <c r="P7" s="5"/>
      <c r="Q7" s="5"/>
      <c r="R7" s="5"/>
      <c r="S7" s="11"/>
      <c r="T7" s="7"/>
    </row>
    <row r="8" spans="1:20" ht="29" x14ac:dyDescent="0.35">
      <c r="A8" s="1" t="s">
        <v>17</v>
      </c>
      <c r="B8" s="5" t="s">
        <v>11</v>
      </c>
      <c r="C8" s="5" t="s">
        <v>14</v>
      </c>
      <c r="D8" s="5" t="s">
        <v>7</v>
      </c>
      <c r="E8" s="2">
        <v>1900000</v>
      </c>
      <c r="F8" s="5" t="s">
        <v>8</v>
      </c>
      <c r="G8" s="22">
        <f>(E8-E4)/E4%</f>
        <v>72.727272727272734</v>
      </c>
      <c r="H8" s="22"/>
      <c r="P8" s="12"/>
      <c r="Q8" s="12"/>
      <c r="R8" s="12"/>
      <c r="S8" s="13"/>
      <c r="T8" s="12"/>
    </row>
    <row r="9" spans="1:20" ht="34.5" customHeight="1" x14ac:dyDescent="0.35">
      <c r="A9" s="1" t="s">
        <v>17</v>
      </c>
      <c r="B9" s="8" t="s">
        <v>12</v>
      </c>
      <c r="C9" s="8" t="s">
        <v>13</v>
      </c>
      <c r="D9" s="8" t="s">
        <v>15</v>
      </c>
      <c r="E9" s="10">
        <v>250000</v>
      </c>
      <c r="F9" s="8" t="s">
        <v>8</v>
      </c>
      <c r="G9" s="22">
        <f>(E9-E5)/E5%</f>
        <v>0</v>
      </c>
      <c r="H9" s="22"/>
    </row>
    <row r="10" spans="1:20" ht="29" x14ac:dyDescent="0.35">
      <c r="A10" t="s">
        <v>18</v>
      </c>
      <c r="B10" s="5" t="s">
        <v>6</v>
      </c>
      <c r="C10" s="5" t="s">
        <v>9</v>
      </c>
      <c r="D10" s="5" t="s">
        <v>7</v>
      </c>
      <c r="E10" s="6">
        <v>420000</v>
      </c>
      <c r="F10" s="5" t="s">
        <v>8</v>
      </c>
      <c r="G10" s="22">
        <f>(E10-E6)/E6%</f>
        <v>0</v>
      </c>
      <c r="H10" s="22"/>
    </row>
    <row r="11" spans="1:20" ht="29" x14ac:dyDescent="0.35">
      <c r="A11" t="s">
        <v>18</v>
      </c>
      <c r="B11" s="8" t="s">
        <v>10</v>
      </c>
      <c r="C11" s="8" t="s">
        <v>14</v>
      </c>
      <c r="D11" s="8" t="s">
        <v>7</v>
      </c>
      <c r="E11" s="4">
        <v>1350000</v>
      </c>
      <c r="F11" s="8" t="s">
        <v>8</v>
      </c>
      <c r="G11" s="22">
        <f>(E11-E7)/E7</f>
        <v>0</v>
      </c>
      <c r="H11" s="22"/>
    </row>
    <row r="12" spans="1:20" ht="29" x14ac:dyDescent="0.35">
      <c r="A12" t="s">
        <v>18</v>
      </c>
      <c r="B12" s="5" t="s">
        <v>11</v>
      </c>
      <c r="C12" s="5" t="s">
        <v>14</v>
      </c>
      <c r="D12" s="5" t="s">
        <v>7</v>
      </c>
      <c r="E12" s="2">
        <v>1900000</v>
      </c>
      <c r="F12" s="5" t="s">
        <v>8</v>
      </c>
      <c r="G12" s="22">
        <f>(E12-E8)/E8%</f>
        <v>0</v>
      </c>
      <c r="H12" s="22"/>
    </row>
    <row r="13" spans="1:20" x14ac:dyDescent="0.35">
      <c r="A13" t="s">
        <v>18</v>
      </c>
      <c r="B13" s="8" t="s">
        <v>12</v>
      </c>
      <c r="C13" s="8" t="s">
        <v>13</v>
      </c>
      <c r="D13" s="8" t="s">
        <v>15</v>
      </c>
      <c r="E13">
        <v>302000</v>
      </c>
      <c r="F13" s="8" t="s">
        <v>8</v>
      </c>
      <c r="G13" s="22">
        <f>(E13-E9)/E9%</f>
        <v>20.8</v>
      </c>
      <c r="H13" s="22"/>
    </row>
    <row r="14" spans="1:20" ht="29" x14ac:dyDescent="0.35">
      <c r="A14" t="s">
        <v>19</v>
      </c>
      <c r="B14" s="5" t="s">
        <v>6</v>
      </c>
      <c r="C14" s="5" t="s">
        <v>9</v>
      </c>
      <c r="D14" s="5" t="s">
        <v>7</v>
      </c>
      <c r="E14">
        <v>493800</v>
      </c>
      <c r="F14" s="5" t="s">
        <v>8</v>
      </c>
      <c r="G14" s="22">
        <f>(E14-E10)/E10%</f>
        <v>17.571428571428573</v>
      </c>
      <c r="H14" s="22"/>
    </row>
    <row r="15" spans="1:20" ht="29" x14ac:dyDescent="0.35">
      <c r="A15" t="s">
        <v>19</v>
      </c>
      <c r="B15" s="8" t="s">
        <v>10</v>
      </c>
      <c r="C15" s="8" t="s">
        <v>14</v>
      </c>
      <c r="D15" s="8" t="s">
        <v>7</v>
      </c>
      <c r="E15" s="3">
        <v>1460000</v>
      </c>
      <c r="F15" s="8" t="s">
        <v>8</v>
      </c>
      <c r="G15" s="22">
        <f>(E15-E11)/E11%</f>
        <v>8.1481481481481488</v>
      </c>
      <c r="H15" s="22"/>
    </row>
    <row r="16" spans="1:20" ht="29" x14ac:dyDescent="0.35">
      <c r="A16" t="s">
        <v>19</v>
      </c>
      <c r="B16" s="5" t="s">
        <v>11</v>
      </c>
      <c r="C16" s="5" t="s">
        <v>14</v>
      </c>
      <c r="D16" s="5" t="s">
        <v>7</v>
      </c>
      <c r="E16" s="2">
        <v>2000000</v>
      </c>
      <c r="F16" s="5" t="s">
        <v>8</v>
      </c>
      <c r="G16" s="22">
        <f>(E16-E12)/E12%</f>
        <v>5.2631578947368425</v>
      </c>
      <c r="H16" s="22"/>
    </row>
    <row r="17" spans="1:14" x14ac:dyDescent="0.35">
      <c r="A17" t="s">
        <v>19</v>
      </c>
      <c r="B17" s="8" t="s">
        <v>12</v>
      </c>
      <c r="C17" s="8" t="s">
        <v>13</v>
      </c>
      <c r="D17" s="8" t="s">
        <v>15</v>
      </c>
      <c r="E17" s="10">
        <v>302000</v>
      </c>
      <c r="F17" s="8" t="s">
        <v>8</v>
      </c>
      <c r="G17" s="22">
        <f>(E17-E13)/E13%</f>
        <v>0</v>
      </c>
      <c r="H17" s="22"/>
    </row>
    <row r="18" spans="1:14" ht="29" x14ac:dyDescent="0.35">
      <c r="A18" t="s">
        <v>20</v>
      </c>
      <c r="B18" s="5" t="s">
        <v>6</v>
      </c>
      <c r="C18" s="5" t="s">
        <v>9</v>
      </c>
      <c r="D18" s="5" t="s">
        <v>7</v>
      </c>
      <c r="E18" s="6">
        <v>550000</v>
      </c>
      <c r="F18" s="5" t="s">
        <v>8</v>
      </c>
      <c r="G18" s="22">
        <f>(E18-E14)/E14%</f>
        <v>11.381125961927905</v>
      </c>
      <c r="H18" s="22"/>
    </row>
    <row r="19" spans="1:14" ht="29" x14ac:dyDescent="0.35">
      <c r="A19" t="s">
        <v>20</v>
      </c>
      <c r="B19" s="8" t="s">
        <v>10</v>
      </c>
      <c r="C19" s="8" t="s">
        <v>14</v>
      </c>
      <c r="D19" s="8" t="s">
        <v>7</v>
      </c>
      <c r="E19" s="3">
        <v>1570000</v>
      </c>
      <c r="F19" s="8" t="s">
        <v>8</v>
      </c>
      <c r="G19" s="22">
        <f>(E19-E15)/E15%</f>
        <v>7.5342465753424657</v>
      </c>
      <c r="H19" s="22"/>
    </row>
    <row r="20" spans="1:14" ht="29" x14ac:dyDescent="0.35">
      <c r="A20" t="s">
        <v>20</v>
      </c>
      <c r="B20" s="5" t="s">
        <v>11</v>
      </c>
      <c r="C20" s="5" t="s">
        <v>14</v>
      </c>
      <c r="D20" s="5" t="s">
        <v>7</v>
      </c>
      <c r="E20" s="17">
        <v>2000000</v>
      </c>
      <c r="F20" s="5" t="s">
        <v>8</v>
      </c>
      <c r="G20" s="22">
        <f>(E20-E16)/E16%</f>
        <v>0</v>
      </c>
      <c r="H20" s="22"/>
    </row>
    <row r="21" spans="1:14" x14ac:dyDescent="0.35">
      <c r="A21" t="s">
        <v>20</v>
      </c>
      <c r="B21" s="8" t="s">
        <v>12</v>
      </c>
      <c r="C21" s="8" t="s">
        <v>13</v>
      </c>
      <c r="D21" s="8" t="s">
        <v>15</v>
      </c>
      <c r="E21" s="10">
        <v>302000</v>
      </c>
      <c r="F21" s="8" t="s">
        <v>8</v>
      </c>
      <c r="G21" s="22">
        <f>(E21-E17)/E17%</f>
        <v>0</v>
      </c>
      <c r="H21" s="22"/>
    </row>
    <row r="22" spans="1:14" ht="29" x14ac:dyDescent="0.35">
      <c r="A22" t="s">
        <v>21</v>
      </c>
      <c r="B22" s="5" t="s">
        <v>6</v>
      </c>
      <c r="C22" s="5" t="s">
        <v>9</v>
      </c>
      <c r="D22" s="5" t="s">
        <v>7</v>
      </c>
      <c r="E22" s="3">
        <v>580000</v>
      </c>
      <c r="F22" s="5" t="s">
        <v>8</v>
      </c>
      <c r="G22" s="22">
        <f>(E22-E18)/E18%</f>
        <v>5.4545454545454541</v>
      </c>
      <c r="H22" s="25">
        <f>(E22-E2)/E2%</f>
        <v>48.717948717948715</v>
      </c>
      <c r="I22" s="18"/>
      <c r="J22" s="19"/>
      <c r="K22" s="19"/>
      <c r="L22" s="19"/>
      <c r="M22" s="20"/>
      <c r="N22" s="21"/>
    </row>
    <row r="23" spans="1:14" ht="29" x14ac:dyDescent="0.35">
      <c r="A23" t="s">
        <v>21</v>
      </c>
      <c r="B23" s="8" t="s">
        <v>10</v>
      </c>
      <c r="C23" s="8" t="s">
        <v>14</v>
      </c>
      <c r="D23" s="8" t="s">
        <v>7</v>
      </c>
      <c r="E23" s="17">
        <v>1700000</v>
      </c>
      <c r="F23" s="8" t="s">
        <v>8</v>
      </c>
      <c r="G23" s="22">
        <f>(E23-E19)/E19%</f>
        <v>8.2802547770700645</v>
      </c>
      <c r="H23" s="22">
        <f>(E23-E3)/E3%</f>
        <v>30.76923076923077</v>
      </c>
      <c r="I23" s="1"/>
    </row>
    <row r="24" spans="1:14" ht="29" x14ac:dyDescent="0.35">
      <c r="A24" t="s">
        <v>21</v>
      </c>
      <c r="B24" s="5" t="s">
        <v>11</v>
      </c>
      <c r="C24" s="5" t="s">
        <v>14</v>
      </c>
      <c r="D24" s="5" t="s">
        <v>7</v>
      </c>
      <c r="E24" s="17">
        <v>2050000</v>
      </c>
      <c r="F24" s="5" t="s">
        <v>8</v>
      </c>
      <c r="G24" s="22">
        <f>(E24-E20)/E20%</f>
        <v>2.5</v>
      </c>
      <c r="H24" s="22">
        <f>(E24-E4)/E4%</f>
        <v>86.36363636363636</v>
      </c>
      <c r="I24" s="1"/>
    </row>
    <row r="25" spans="1:14" x14ac:dyDescent="0.35">
      <c r="A25" t="s">
        <v>21</v>
      </c>
      <c r="B25" s="8" t="s">
        <v>12</v>
      </c>
      <c r="C25" s="8" t="s">
        <v>13</v>
      </c>
      <c r="D25" s="8" t="s">
        <v>15</v>
      </c>
      <c r="E25" s="3">
        <v>320000</v>
      </c>
      <c r="F25" s="8" t="s">
        <v>8</v>
      </c>
      <c r="G25" s="24">
        <f>(E25-E21)/E21%</f>
        <v>5.9602649006622519</v>
      </c>
      <c r="H25" s="24">
        <f>(E25-E5)/E5%</f>
        <v>28</v>
      </c>
      <c r="I25" s="1"/>
    </row>
    <row r="26" spans="1:14" x14ac:dyDescent="0.35">
      <c r="I26" s="1"/>
    </row>
    <row r="27" spans="1:14" x14ac:dyDescent="0.35">
      <c r="I27" s="1"/>
    </row>
    <row r="28" spans="1:14" x14ac:dyDescent="0.35">
      <c r="I28" s="1"/>
    </row>
    <row r="29" spans="1:14" x14ac:dyDescent="0.35">
      <c r="I29" s="1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izadi</dc:creator>
  <cp:lastModifiedBy>Mohammad izadi</cp:lastModifiedBy>
  <dcterms:created xsi:type="dcterms:W3CDTF">2026-09-04T07:42:47Z</dcterms:created>
  <dcterms:modified xsi:type="dcterms:W3CDTF">2026-09-04T13:41:50Z</dcterms:modified>
</cp:coreProperties>
</file>